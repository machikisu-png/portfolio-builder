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06894e18bd07cb/デスクトップ/投資信託/"/>
    </mc:Choice>
  </mc:AlternateContent>
  <xr:revisionPtr revIDLastSave="87" documentId="8_{0149C438-53F8-477D-B198-96F142B49B71}" xr6:coauthVersionLast="47" xr6:coauthVersionMax="47" xr10:uidLastSave="{C7BC7D6F-5DF9-4ABC-9F1E-576D7EA02473}"/>
  <bookViews>
    <workbookView xWindow="-120" yWindow="-120" windowWidth="29040" windowHeight="15720" xr2:uid="{70052C5F-5761-4766-BDA1-B39DFC571231}"/>
  </bookViews>
  <sheets>
    <sheet name="ポートフォリオ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2" l="1"/>
  <c r="F28" i="12"/>
  <c r="L25" i="12"/>
  <c r="F25" i="12"/>
  <c r="L24" i="12"/>
  <c r="F24" i="12"/>
  <c r="L23" i="12"/>
  <c r="F23" i="12"/>
  <c r="L22" i="12"/>
  <c r="I7" i="12" s="1"/>
  <c r="I22" i="12" s="1"/>
  <c r="F22" i="12"/>
  <c r="L21" i="12"/>
  <c r="G7" i="12" s="1"/>
  <c r="I21" i="12" s="1"/>
  <c r="F21" i="12"/>
  <c r="L20" i="12"/>
  <c r="F20" i="12"/>
  <c r="L19" i="12"/>
  <c r="F19" i="12"/>
  <c r="E16" i="12"/>
  <c r="E15" i="12"/>
  <c r="Q4" i="12"/>
  <c r="O3" i="12"/>
  <c r="O6" i="12" s="1"/>
  <c r="C25" i="12" s="1"/>
  <c r="M3" i="12"/>
  <c r="K24" i="12" s="1"/>
  <c r="K3" i="12"/>
  <c r="K23" i="12" s="1"/>
  <c r="K22" i="12"/>
  <c r="K20" i="12"/>
  <c r="C6" i="12"/>
  <c r="E23" i="12" l="1"/>
  <c r="K7" i="12"/>
  <c r="I23" i="12" s="1"/>
  <c r="K6" i="12"/>
  <c r="C23" i="12" s="1"/>
  <c r="K21" i="12"/>
  <c r="E21" i="12"/>
  <c r="I6" i="12"/>
  <c r="C22" i="12" s="1"/>
  <c r="K19" i="12"/>
  <c r="E19" i="12"/>
  <c r="C7" i="12"/>
  <c r="I19" i="12" s="1"/>
  <c r="C19" i="12"/>
  <c r="E25" i="12"/>
  <c r="E6" i="12"/>
  <c r="C20" i="12" s="1"/>
  <c r="M7" i="12"/>
  <c r="I24" i="12" s="1"/>
  <c r="G6" i="12"/>
  <c r="C21" i="12" s="1"/>
  <c r="O7" i="12"/>
  <c r="I25" i="12" s="1"/>
  <c r="K25" i="12"/>
  <c r="M6" i="12"/>
  <c r="C24" i="12" s="1"/>
  <c r="E20" i="12"/>
  <c r="E22" i="12"/>
  <c r="E24" i="12"/>
  <c r="E7" i="12"/>
  <c r="I20" i="12" s="1"/>
  <c r="C16" i="12" l="1"/>
  <c r="G16" i="12" s="1"/>
  <c r="Q7" i="12"/>
  <c r="Q6" i="12"/>
  <c r="C15" i="12"/>
  <c r="I16" i="12" l="1"/>
  <c r="I15" i="12"/>
  <c r="G15" i="12"/>
  <c r="D29" i="12" l="1"/>
  <c r="H29" i="12" s="1"/>
  <c r="D28" i="12"/>
  <c r="H28" i="12" s="1"/>
  <c r="Q5" i="12"/>
</calcChain>
</file>

<file path=xl/sharedStrings.xml><?xml version="1.0" encoding="utf-8"?>
<sst xmlns="http://schemas.openxmlformats.org/spreadsheetml/2006/main" count="55" uniqueCount="37">
  <si>
    <t>国内債券</t>
    <rPh sb="0" eb="2">
      <t>コクナイ</t>
    </rPh>
    <rPh sb="2" eb="4">
      <t>サイケン</t>
    </rPh>
    <phoneticPr fontId="1"/>
  </si>
  <si>
    <t>国内株式</t>
    <rPh sb="0" eb="2">
      <t>コクナイ</t>
    </rPh>
    <rPh sb="2" eb="4">
      <t>カブシキ</t>
    </rPh>
    <phoneticPr fontId="1"/>
  </si>
  <si>
    <t>新興国株式</t>
    <rPh sb="0" eb="3">
      <t>シンコウコク</t>
    </rPh>
    <rPh sb="3" eb="5">
      <t>カブシキ</t>
    </rPh>
    <phoneticPr fontId="1"/>
  </si>
  <si>
    <t>コモディティ</t>
    <phoneticPr fontId="1"/>
  </si>
  <si>
    <t>投資額</t>
    <rPh sb="0" eb="3">
      <t>トウシガク</t>
    </rPh>
    <phoneticPr fontId="1"/>
  </si>
  <si>
    <t>利回り</t>
    <rPh sb="0" eb="2">
      <t>リマワ</t>
    </rPh>
    <phoneticPr fontId="1"/>
  </si>
  <si>
    <t>標準偏差</t>
    <rPh sb="0" eb="4">
      <t>ヒョウジュンヘンサ</t>
    </rPh>
    <phoneticPr fontId="1"/>
  </si>
  <si>
    <t>投資割合</t>
    <rPh sb="0" eb="4">
      <t>トウシワリアイ</t>
    </rPh>
    <phoneticPr fontId="1"/>
  </si>
  <si>
    <t>アセット</t>
    <phoneticPr fontId="1"/>
  </si>
  <si>
    <t>シャープレシオ</t>
    <phoneticPr fontId="1"/>
  </si>
  <si>
    <t>信託報酬</t>
    <rPh sb="0" eb="4">
      <t>シンタクホウシュウ</t>
    </rPh>
    <phoneticPr fontId="1"/>
  </si>
  <si>
    <t>外国債券</t>
    <rPh sb="0" eb="2">
      <t>ガイコク</t>
    </rPh>
    <rPh sb="2" eb="4">
      <t>サイケン</t>
    </rPh>
    <phoneticPr fontId="1"/>
  </si>
  <si>
    <t>先進国株式</t>
    <rPh sb="0" eb="3">
      <t>センシンコク</t>
    </rPh>
    <rPh sb="3" eb="5">
      <t>カブシキ</t>
    </rPh>
    <phoneticPr fontId="1"/>
  </si>
  <si>
    <t>リート</t>
    <phoneticPr fontId="1"/>
  </si>
  <si>
    <t>保有口数</t>
    <rPh sb="0" eb="4">
      <t>ホユウクチスウ</t>
    </rPh>
    <phoneticPr fontId="1"/>
  </si>
  <si>
    <t>リターン</t>
    <phoneticPr fontId="1"/>
  </si>
  <si>
    <t>積立金額</t>
    <rPh sb="0" eb="2">
      <t>ツミタテ</t>
    </rPh>
    <rPh sb="2" eb="4">
      <t>キンガク</t>
    </rPh>
    <phoneticPr fontId="1"/>
  </si>
  <si>
    <t>最長平均利回り</t>
    <rPh sb="0" eb="2">
      <t>サイチョウ</t>
    </rPh>
    <rPh sb="2" eb="4">
      <t>ヘイキン</t>
    </rPh>
    <rPh sb="4" eb="6">
      <t>リマワ</t>
    </rPh>
    <phoneticPr fontId="1"/>
  </si>
  <si>
    <t>投資元本</t>
    <rPh sb="0" eb="2">
      <t>トウシ</t>
    </rPh>
    <rPh sb="2" eb="4">
      <t>ガンポン</t>
    </rPh>
    <phoneticPr fontId="1"/>
  </si>
  <si>
    <t>総資産額</t>
    <rPh sb="0" eb="4">
      <t>ソウシサンガク</t>
    </rPh>
    <phoneticPr fontId="1"/>
  </si>
  <si>
    <t>投資原本額</t>
    <rPh sb="0" eb="2">
      <t>トウシ</t>
    </rPh>
    <rPh sb="2" eb="5">
      <t>ゲンポンガク</t>
    </rPh>
    <phoneticPr fontId="1"/>
  </si>
  <si>
    <t>現在の評価額</t>
    <rPh sb="0" eb="2">
      <t>ゲンザイ</t>
    </rPh>
    <rPh sb="3" eb="5">
      <t>ヒョウカ</t>
    </rPh>
    <rPh sb="5" eb="6">
      <t>ガク</t>
    </rPh>
    <phoneticPr fontId="1"/>
  </si>
  <si>
    <t>引き前の利回り</t>
    <rPh sb="0" eb="1">
      <t>ヒ</t>
    </rPh>
    <rPh sb="2" eb="3">
      <t>マエ</t>
    </rPh>
    <rPh sb="4" eb="6">
      <t>リマワ</t>
    </rPh>
    <phoneticPr fontId="1"/>
  </si>
  <si>
    <t>総投資額</t>
    <rPh sb="0" eb="4">
      <t>ソウトウシガク</t>
    </rPh>
    <phoneticPr fontId="1"/>
  </si>
  <si>
    <t>URL</t>
    <phoneticPr fontId="1"/>
  </si>
  <si>
    <t>先進国株式</t>
    <rPh sb="0" eb="2">
      <t>センシン</t>
    </rPh>
    <rPh sb="2" eb="3">
      <t>コク</t>
    </rPh>
    <rPh sb="3" eb="5">
      <t>カブシキ</t>
    </rPh>
    <phoneticPr fontId="1"/>
  </si>
  <si>
    <t>新興国株式</t>
    <rPh sb="0" eb="5">
      <t>シンコウコクカブシキ</t>
    </rPh>
    <phoneticPr fontId="1"/>
  </si>
  <si>
    <t>ファンド名</t>
    <rPh sb="4" eb="5">
      <t>メイ</t>
    </rPh>
    <phoneticPr fontId="1"/>
  </si>
  <si>
    <t>標準偏差(２倍)</t>
    <rPh sb="0" eb="4">
      <t>ヒョウジュンヘンサ</t>
    </rPh>
    <rPh sb="6" eb="7">
      <t>バイ</t>
    </rPh>
    <phoneticPr fontId="1"/>
  </si>
  <si>
    <t>投資額／合計／リターン</t>
    <rPh sb="0" eb="3">
      <t>トウシガク</t>
    </rPh>
    <rPh sb="4" eb="6">
      <t>ゴウケイ</t>
    </rPh>
    <phoneticPr fontId="1"/>
  </si>
  <si>
    <t>基準額(-)</t>
    <rPh sb="0" eb="3">
      <t>キジュンガク</t>
    </rPh>
    <phoneticPr fontId="1"/>
  </si>
  <si>
    <t>基準額(+)</t>
    <rPh sb="0" eb="3">
      <t>キジュンガク</t>
    </rPh>
    <phoneticPr fontId="1"/>
  </si>
  <si>
    <t>リスク</t>
    <phoneticPr fontId="1"/>
  </si>
  <si>
    <t>基準額(－)</t>
    <rPh sb="0" eb="3">
      <t>キジュンガク</t>
    </rPh>
    <phoneticPr fontId="1"/>
  </si>
  <si>
    <t>投資年数</t>
    <rPh sb="0" eb="2">
      <t>トウシ</t>
    </rPh>
    <rPh sb="2" eb="4">
      <t>ネンスウ</t>
    </rPh>
    <phoneticPr fontId="1"/>
  </si>
  <si>
    <t>福利計算</t>
    <rPh sb="0" eb="2">
      <t>フクリ</t>
    </rPh>
    <rPh sb="2" eb="4">
      <t>ケイサン</t>
    </rPh>
    <phoneticPr fontId="1"/>
  </si>
  <si>
    <t>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</si>
</sst>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#,##0_ "/>
    <numFmt numFmtId="178" formatCode="#,##0_);[Red]\(#,##0\)"/>
    <numFmt numFmtId="179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u/>
      <sz val="2"/>
      <color theme="10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9" fontId="6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/>
    </xf>
    <xf numFmtId="177" fontId="10" fillId="3" borderId="1" xfId="0" applyNumberFormat="1" applyFont="1" applyFill="1" applyBorder="1" applyAlignment="1">
      <alignment horizontal="center" vertical="center"/>
    </xf>
    <xf numFmtId="10" fontId="10" fillId="3" borderId="30" xfId="0" applyNumberFormat="1" applyFont="1" applyFill="1" applyBorder="1" applyAlignment="1">
      <alignment horizontal="center" vertical="center"/>
    </xf>
    <xf numFmtId="177" fontId="10" fillId="3" borderId="32" xfId="0" applyNumberFormat="1" applyFont="1" applyFill="1" applyBorder="1" applyAlignment="1">
      <alignment horizontal="center" vertical="center"/>
    </xf>
    <xf numFmtId="10" fontId="10" fillId="3" borderId="33" xfId="0" applyNumberFormat="1" applyFont="1" applyFill="1" applyBorder="1" applyAlignment="1">
      <alignment horizontal="center" vertical="center"/>
    </xf>
    <xf numFmtId="3" fontId="10" fillId="3" borderId="29" xfId="0" applyNumberFormat="1" applyFont="1" applyFill="1" applyBorder="1" applyAlignment="1">
      <alignment horizontal="center" vertical="center"/>
    </xf>
    <xf numFmtId="3" fontId="10" fillId="3" borderId="31" xfId="0" applyNumberFormat="1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 applyProtection="1">
      <alignment horizontal="center" vertical="center"/>
      <protection locked="0"/>
    </xf>
    <xf numFmtId="179" fontId="10" fillId="0" borderId="32" xfId="0" applyNumberFormat="1" applyFont="1" applyBorder="1" applyAlignment="1" applyProtection="1">
      <alignment horizontal="center" vertical="center"/>
      <protection locked="0"/>
    </xf>
    <xf numFmtId="0" fontId="10" fillId="2" borderId="28" xfId="0" applyFont="1" applyFill="1" applyBorder="1" applyAlignment="1">
      <alignment horizontal="center" vertical="center"/>
    </xf>
    <xf numFmtId="0" fontId="11" fillId="0" borderId="30" xfId="0" applyFont="1" applyBorder="1" applyAlignment="1" applyProtection="1">
      <alignment horizontal="center" vertical="center"/>
      <protection locked="0"/>
    </xf>
    <xf numFmtId="0" fontId="11" fillId="0" borderId="33" xfId="0" applyFont="1" applyBorder="1" applyAlignment="1" applyProtection="1">
      <alignment horizontal="center" vertical="center"/>
      <protection locked="0"/>
    </xf>
    <xf numFmtId="3" fontId="11" fillId="0" borderId="29" xfId="0" applyNumberFormat="1" applyFont="1" applyBorder="1" applyAlignment="1" applyProtection="1">
      <alignment horizontal="center" vertical="center"/>
      <protection locked="0"/>
    </xf>
    <xf numFmtId="3" fontId="11" fillId="0" borderId="1" xfId="0" applyNumberFormat="1" applyFont="1" applyBorder="1" applyAlignment="1" applyProtection="1">
      <alignment horizontal="center" vertical="center"/>
      <protection locked="0"/>
    </xf>
    <xf numFmtId="10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177" fontId="11" fillId="3" borderId="1" xfId="0" applyNumberFormat="1" applyFont="1" applyFill="1" applyBorder="1" applyAlignment="1">
      <alignment horizontal="center" vertical="center"/>
    </xf>
    <xf numFmtId="177" fontId="11" fillId="3" borderId="2" xfId="0" applyNumberFormat="1" applyFont="1" applyFill="1" applyBorder="1" applyAlignment="1">
      <alignment horizontal="center" vertical="center"/>
    </xf>
    <xf numFmtId="3" fontId="11" fillId="0" borderId="31" xfId="0" applyNumberFormat="1" applyFont="1" applyBorder="1" applyAlignment="1" applyProtection="1">
      <alignment horizontal="center" vertical="center"/>
      <protection locked="0"/>
    </xf>
    <xf numFmtId="3" fontId="11" fillId="0" borderId="32" xfId="0" applyNumberFormat="1" applyFont="1" applyBorder="1" applyAlignment="1" applyProtection="1">
      <alignment horizontal="center" vertical="center"/>
      <protection locked="0"/>
    </xf>
    <xf numFmtId="10" fontId="11" fillId="3" borderId="32" xfId="0" applyNumberFormat="1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/>
    </xf>
    <xf numFmtId="3" fontId="11" fillId="3" borderId="32" xfId="0" applyNumberFormat="1" applyFont="1" applyFill="1" applyBorder="1" applyAlignment="1">
      <alignment horizontal="center" vertical="center"/>
    </xf>
    <xf numFmtId="177" fontId="11" fillId="3" borderId="32" xfId="0" applyNumberFormat="1" applyFont="1" applyFill="1" applyBorder="1" applyAlignment="1">
      <alignment horizontal="center" vertical="center"/>
    </xf>
    <xf numFmtId="177" fontId="11" fillId="3" borderId="21" xfId="0" applyNumberFormat="1" applyFont="1" applyFill="1" applyBorder="1" applyAlignment="1">
      <alignment horizontal="center" vertical="center"/>
    </xf>
    <xf numFmtId="178" fontId="11" fillId="3" borderId="6" xfId="0" applyNumberFormat="1" applyFont="1" applyFill="1" applyBorder="1" applyAlignment="1">
      <alignment horizontal="center" vertical="center"/>
    </xf>
    <xf numFmtId="178" fontId="11" fillId="3" borderId="7" xfId="0" applyNumberFormat="1" applyFont="1" applyFill="1" applyBorder="1" applyAlignment="1">
      <alignment horizontal="center" vertical="center"/>
    </xf>
    <xf numFmtId="38" fontId="11" fillId="3" borderId="6" xfId="0" applyNumberFormat="1" applyFont="1" applyFill="1" applyBorder="1" applyAlignment="1">
      <alignment horizontal="center" vertical="center"/>
    </xf>
    <xf numFmtId="38" fontId="11" fillId="3" borderId="8" xfId="0" applyNumberFormat="1" applyFont="1" applyFill="1" applyBorder="1" applyAlignment="1">
      <alignment horizontal="center" vertical="center"/>
    </xf>
    <xf numFmtId="10" fontId="11" fillId="4" borderId="7" xfId="0" applyNumberFormat="1" applyFont="1" applyFill="1" applyBorder="1" applyAlignment="1">
      <alignment horizontal="center" vertical="center"/>
    </xf>
    <xf numFmtId="10" fontId="11" fillId="4" borderId="8" xfId="0" applyNumberFormat="1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178" fontId="10" fillId="2" borderId="27" xfId="0" applyNumberFormat="1" applyFont="1" applyFill="1" applyBorder="1" applyAlignment="1">
      <alignment horizontal="center" vertical="center"/>
    </xf>
    <xf numFmtId="178" fontId="10" fillId="2" borderId="18" xfId="0" applyNumberFormat="1" applyFont="1" applyFill="1" applyBorder="1" applyAlignment="1">
      <alignment horizontal="center" vertical="center"/>
    </xf>
    <xf numFmtId="0" fontId="8" fillId="0" borderId="32" xfId="1" applyFont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center" vertical="center"/>
      <protection locked="0"/>
    </xf>
    <xf numFmtId="9" fontId="6" fillId="2" borderId="9" xfId="0" applyNumberFormat="1" applyFont="1" applyFill="1" applyBorder="1" applyAlignment="1">
      <alignment horizontal="center" vertical="center"/>
    </xf>
    <xf numFmtId="9" fontId="6" fillId="2" borderId="10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0" fontId="11" fillId="5" borderId="7" xfId="0" applyNumberFormat="1" applyFont="1" applyFill="1" applyBorder="1" applyAlignment="1">
      <alignment horizontal="center" vertical="center"/>
    </xf>
    <xf numFmtId="10" fontId="11" fillId="5" borderId="8" xfId="0" applyNumberFormat="1" applyFont="1" applyFill="1" applyBorder="1" applyAlignment="1">
      <alignment horizontal="center" vertical="center"/>
    </xf>
    <xf numFmtId="0" fontId="8" fillId="0" borderId="31" xfId="1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10" fontId="11" fillId="0" borderId="2" xfId="0" applyNumberFormat="1" applyFont="1" applyBorder="1" applyAlignment="1" applyProtection="1">
      <alignment horizontal="center" vertical="center"/>
      <protection locked="0"/>
    </xf>
    <xf numFmtId="10" fontId="11" fillId="0" borderId="12" xfId="0" applyNumberFormat="1" applyFont="1" applyBorder="1" applyAlignment="1" applyProtection="1">
      <alignment horizontal="center" vertical="center"/>
      <protection locked="0"/>
    </xf>
    <xf numFmtId="10" fontId="9" fillId="0" borderId="29" xfId="0" applyNumberFormat="1" applyFont="1" applyBorder="1" applyAlignment="1" applyProtection="1">
      <alignment horizontal="center" vertical="center"/>
      <protection locked="0"/>
    </xf>
    <xf numFmtId="10" fontId="9" fillId="0" borderId="1" xfId="0" applyNumberFormat="1" applyFont="1" applyBorder="1" applyAlignment="1" applyProtection="1">
      <alignment horizontal="center" vertical="center"/>
      <protection locked="0"/>
    </xf>
    <xf numFmtId="10" fontId="9" fillId="0" borderId="30" xfId="0" applyNumberFormat="1" applyFont="1" applyBorder="1" applyAlignment="1" applyProtection="1">
      <alignment horizontal="center" vertical="center"/>
      <protection locked="0"/>
    </xf>
    <xf numFmtId="10" fontId="11" fillId="0" borderId="11" xfId="0" applyNumberFormat="1" applyFont="1" applyBorder="1" applyAlignment="1" applyProtection="1">
      <alignment horizontal="center" vertical="center"/>
      <protection locked="0"/>
    </xf>
    <xf numFmtId="10" fontId="11" fillId="0" borderId="3" xfId="0" applyNumberFormat="1" applyFont="1" applyBorder="1" applyAlignment="1" applyProtection="1">
      <alignment horizontal="center" vertical="center"/>
      <protection locked="0"/>
    </xf>
    <xf numFmtId="176" fontId="11" fillId="0" borderId="18" xfId="0" applyNumberFormat="1" applyFont="1" applyBorder="1" applyAlignment="1" applyProtection="1">
      <alignment horizontal="center" vertical="center"/>
      <protection locked="0"/>
    </xf>
    <xf numFmtId="176" fontId="11" fillId="0" borderId="10" xfId="0" applyNumberFormat="1" applyFont="1" applyBorder="1" applyAlignment="1" applyProtection="1">
      <alignment horizontal="center" vertical="center"/>
      <protection locked="0"/>
    </xf>
    <xf numFmtId="176" fontId="11" fillId="0" borderId="11" xfId="0" applyNumberFormat="1" applyFont="1" applyBorder="1" applyAlignment="1" applyProtection="1">
      <alignment horizontal="center" vertical="center"/>
      <protection locked="0"/>
    </xf>
    <xf numFmtId="176" fontId="11" fillId="0" borderId="3" xfId="0" applyNumberFormat="1" applyFont="1" applyBorder="1" applyAlignment="1" applyProtection="1">
      <alignment horizontal="center" vertical="center"/>
      <protection locked="0"/>
    </xf>
    <xf numFmtId="176" fontId="11" fillId="0" borderId="2" xfId="0" applyNumberFormat="1" applyFont="1" applyBorder="1" applyAlignment="1" applyProtection="1">
      <alignment horizontal="center" vertical="center"/>
      <protection locked="0"/>
    </xf>
    <xf numFmtId="176" fontId="11" fillId="0" borderId="12" xfId="0" applyNumberFormat="1" applyFont="1" applyBorder="1" applyAlignment="1" applyProtection="1">
      <alignment horizontal="center" vertical="center"/>
      <protection locked="0"/>
    </xf>
    <xf numFmtId="176" fontId="11" fillId="0" borderId="9" xfId="0" applyNumberFormat="1" applyFont="1" applyBorder="1" applyAlignment="1" applyProtection="1">
      <alignment horizontal="center" vertical="center"/>
      <protection locked="0"/>
    </xf>
    <xf numFmtId="176" fontId="11" fillId="0" borderId="17" xfId="0" applyNumberFormat="1" applyFont="1" applyBorder="1" applyAlignment="1" applyProtection="1">
      <alignment horizontal="center" vertical="center"/>
      <protection locked="0"/>
    </xf>
    <xf numFmtId="3" fontId="11" fillId="3" borderId="37" xfId="0" applyNumberFormat="1" applyFont="1" applyFill="1" applyBorder="1" applyAlignment="1">
      <alignment horizontal="center" vertical="center"/>
    </xf>
    <xf numFmtId="3" fontId="11" fillId="3" borderId="38" xfId="0" applyNumberFormat="1" applyFont="1" applyFill="1" applyBorder="1" applyAlignment="1">
      <alignment horizontal="center" vertical="center"/>
    </xf>
    <xf numFmtId="38" fontId="11" fillId="2" borderId="11" xfId="0" applyNumberFormat="1" applyFont="1" applyFill="1" applyBorder="1" applyAlignment="1">
      <alignment horizontal="center" vertical="center"/>
    </xf>
    <xf numFmtId="38" fontId="11" fillId="2" borderId="3" xfId="0" applyNumberFormat="1" applyFont="1" applyFill="1" applyBorder="1" applyAlignment="1">
      <alignment horizontal="center" vertical="center"/>
    </xf>
    <xf numFmtId="3" fontId="11" fillId="3" borderId="34" xfId="0" applyNumberFormat="1" applyFont="1" applyFill="1" applyBorder="1" applyAlignment="1">
      <alignment horizontal="center" vertical="center"/>
    </xf>
    <xf numFmtId="3" fontId="11" fillId="3" borderId="4" xfId="0" applyNumberFormat="1" applyFont="1" applyFill="1" applyBorder="1" applyAlignment="1">
      <alignment horizontal="center" vertical="center"/>
    </xf>
    <xf numFmtId="3" fontId="11" fillId="3" borderId="35" xfId="0" applyNumberFormat="1" applyFont="1" applyFill="1" applyBorder="1" applyAlignment="1">
      <alignment horizontal="center" vertical="center"/>
    </xf>
    <xf numFmtId="3" fontId="11" fillId="3" borderId="36" xfId="0" applyNumberFormat="1" applyFont="1" applyFill="1" applyBorder="1" applyAlignment="1">
      <alignment horizontal="center" vertical="center"/>
    </xf>
    <xf numFmtId="10" fontId="11" fillId="0" borderId="18" xfId="0" applyNumberFormat="1" applyFont="1" applyBorder="1" applyAlignment="1" applyProtection="1">
      <alignment horizontal="center" vertical="center"/>
      <protection locked="0"/>
    </xf>
    <xf numFmtId="10" fontId="11" fillId="0" borderId="10" xfId="0" applyNumberFormat="1" applyFont="1" applyBorder="1" applyAlignment="1" applyProtection="1">
      <alignment horizontal="center" vertical="center"/>
      <protection locked="0"/>
    </xf>
    <xf numFmtId="9" fontId="11" fillId="2" borderId="0" xfId="0" applyNumberFormat="1" applyFont="1" applyFill="1" applyAlignment="1">
      <alignment horizontal="center" vertical="center"/>
    </xf>
    <xf numFmtId="9" fontId="11" fillId="2" borderId="25" xfId="0" applyNumberFormat="1" applyFont="1" applyFill="1" applyBorder="1" applyAlignment="1">
      <alignment horizontal="center" vertical="center"/>
    </xf>
    <xf numFmtId="10" fontId="11" fillId="0" borderId="19" xfId="0" applyNumberFormat="1" applyFont="1" applyBorder="1" applyAlignment="1" applyProtection="1">
      <alignment horizontal="center" vertical="center"/>
      <protection locked="0"/>
    </xf>
    <xf numFmtId="10" fontId="11" fillId="0" borderId="20" xfId="0" applyNumberFormat="1" applyFont="1" applyBorder="1" applyAlignment="1" applyProtection="1">
      <alignment horizontal="center" vertical="center"/>
      <protection locked="0"/>
    </xf>
    <xf numFmtId="10" fontId="11" fillId="0" borderId="21" xfId="0" applyNumberFormat="1" applyFont="1" applyBorder="1" applyAlignment="1" applyProtection="1">
      <alignment horizontal="center" vertical="center"/>
      <protection locked="0"/>
    </xf>
    <xf numFmtId="10" fontId="11" fillId="0" borderId="22" xfId="0" applyNumberFormat="1" applyFont="1" applyBorder="1" applyAlignment="1" applyProtection="1">
      <alignment horizontal="center" vertical="center"/>
      <protection locked="0"/>
    </xf>
    <xf numFmtId="10" fontId="11" fillId="2" borderId="14" xfId="0" applyNumberFormat="1" applyFont="1" applyFill="1" applyBorder="1" applyAlignment="1">
      <alignment horizontal="center" vertical="center"/>
    </xf>
    <xf numFmtId="10" fontId="11" fillId="2" borderId="3" xfId="0" applyNumberFormat="1" applyFont="1" applyFill="1" applyBorder="1" applyAlignment="1">
      <alignment horizontal="center" vertical="center"/>
    </xf>
    <xf numFmtId="10" fontId="11" fillId="0" borderId="9" xfId="0" applyNumberFormat="1" applyFont="1" applyBorder="1" applyAlignment="1" applyProtection="1">
      <alignment horizontal="center" vertical="center"/>
      <protection locked="0"/>
    </xf>
    <xf numFmtId="10" fontId="11" fillId="0" borderId="17" xfId="0" applyNumberFormat="1" applyFont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177" fontId="11" fillId="2" borderId="15" xfId="0" applyNumberFormat="1" applyFont="1" applyFill="1" applyBorder="1" applyAlignment="1">
      <alignment horizontal="center" vertical="center"/>
    </xf>
    <xf numFmtId="177" fontId="11" fillId="2" borderId="16" xfId="0" applyNumberFormat="1" applyFont="1" applyFill="1" applyBorder="1" applyAlignment="1">
      <alignment horizontal="center" vertical="center"/>
    </xf>
    <xf numFmtId="177" fontId="11" fillId="2" borderId="5" xfId="0" applyNumberFormat="1" applyFont="1" applyFill="1" applyBorder="1" applyAlignment="1">
      <alignment horizontal="center" vertical="center"/>
    </xf>
    <xf numFmtId="177" fontId="11" fillId="2" borderId="0" xfId="0" applyNumberFormat="1" applyFont="1" applyFill="1" applyAlignment="1">
      <alignment horizontal="center" vertical="center"/>
    </xf>
    <xf numFmtId="177" fontId="11" fillId="0" borderId="23" xfId="0" applyNumberFormat="1" applyFont="1" applyBorder="1" applyAlignment="1" applyProtection="1">
      <alignment horizontal="center" vertical="center"/>
      <protection locked="0"/>
    </xf>
    <xf numFmtId="177" fontId="11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5292-AA7F-48DB-A2A5-2DCEE854B0D9}">
  <dimension ref="B1:Z132"/>
  <sheetViews>
    <sheetView showZeros="0" tabSelected="1" zoomScale="71" zoomScaleNormal="71" zoomScaleSheetLayoutView="50" workbookViewId="0">
      <selection activeCell="B29" sqref="B29:C29"/>
    </sheetView>
  </sheetViews>
  <sheetFormatPr defaultRowHeight="18.75" x14ac:dyDescent="0.4"/>
  <cols>
    <col min="1" max="1" width="2.5" customWidth="1"/>
    <col min="2" max="2" width="12" customWidth="1"/>
    <col min="3" max="18" width="11.625" customWidth="1"/>
    <col min="19" max="26" width="12" customWidth="1"/>
    <col min="27" max="27" width="10.375" customWidth="1"/>
  </cols>
  <sheetData>
    <row r="1" spans="2:25" ht="22.35" customHeight="1" x14ac:dyDescent="0.4"/>
    <row r="2" spans="2:25" ht="24.95" customHeight="1" thickBot="1" x14ac:dyDescent="0.45">
      <c r="B2" s="1" t="s">
        <v>8</v>
      </c>
      <c r="C2" s="98" t="s">
        <v>0</v>
      </c>
      <c r="D2" s="99"/>
      <c r="E2" s="98" t="s">
        <v>1</v>
      </c>
      <c r="F2" s="99"/>
      <c r="G2" s="98" t="s">
        <v>11</v>
      </c>
      <c r="H2" s="99"/>
      <c r="I2" s="98" t="s">
        <v>12</v>
      </c>
      <c r="J2" s="99"/>
      <c r="K2" s="98" t="s">
        <v>13</v>
      </c>
      <c r="L2" s="99"/>
      <c r="M2" s="98" t="s">
        <v>3</v>
      </c>
      <c r="N2" s="99"/>
      <c r="O2" s="98" t="s">
        <v>2</v>
      </c>
      <c r="P2" s="99"/>
      <c r="Q2" s="100" t="s">
        <v>29</v>
      </c>
      <c r="R2" s="101"/>
    </row>
    <row r="3" spans="2:25" ht="24.95" customHeight="1" thickBot="1" x14ac:dyDescent="0.45">
      <c r="B3" s="1" t="s">
        <v>4</v>
      </c>
      <c r="C3" s="102"/>
      <c r="D3" s="103"/>
      <c r="E3" s="102"/>
      <c r="F3" s="103"/>
      <c r="G3" s="102"/>
      <c r="H3" s="103"/>
      <c r="I3" s="102"/>
      <c r="J3" s="103"/>
      <c r="K3" s="102">
        <f>Q3*K4</f>
        <v>0</v>
      </c>
      <c r="L3" s="103"/>
      <c r="M3" s="102">
        <f>Q3*M4</f>
        <v>0</v>
      </c>
      <c r="N3" s="103"/>
      <c r="O3" s="104">
        <f>Q3*O4</f>
        <v>0</v>
      </c>
      <c r="P3" s="105"/>
      <c r="Q3" s="106"/>
      <c r="R3" s="107"/>
    </row>
    <row r="4" spans="2:25" ht="24.95" customHeight="1" x14ac:dyDescent="0.4">
      <c r="B4" s="7" t="s">
        <v>7</v>
      </c>
      <c r="C4" s="96"/>
      <c r="D4" s="97"/>
      <c r="E4" s="86"/>
      <c r="F4" s="97"/>
      <c r="G4" s="86"/>
      <c r="H4" s="97"/>
      <c r="I4" s="86"/>
      <c r="J4" s="97"/>
      <c r="K4" s="86"/>
      <c r="L4" s="97"/>
      <c r="M4" s="86"/>
      <c r="N4" s="97"/>
      <c r="O4" s="86"/>
      <c r="P4" s="87"/>
      <c r="Q4" s="88">
        <f>SUM(C4:P4)</f>
        <v>0</v>
      </c>
      <c r="R4" s="89"/>
    </row>
    <row r="5" spans="2:25" ht="24.95" customHeight="1" thickBot="1" x14ac:dyDescent="0.45">
      <c r="B5" s="7" t="s">
        <v>5</v>
      </c>
      <c r="C5" s="90"/>
      <c r="D5" s="91"/>
      <c r="E5" s="92"/>
      <c r="F5" s="91"/>
      <c r="G5" s="92"/>
      <c r="H5" s="91"/>
      <c r="I5" s="92"/>
      <c r="J5" s="91"/>
      <c r="K5" s="92"/>
      <c r="L5" s="91"/>
      <c r="M5" s="92"/>
      <c r="N5" s="91"/>
      <c r="O5" s="92"/>
      <c r="P5" s="93"/>
      <c r="Q5" s="94" t="e">
        <f>I15</f>
        <v>#DIV/0!</v>
      </c>
      <c r="R5" s="95"/>
    </row>
    <row r="6" spans="2:25" ht="24.95" customHeight="1" x14ac:dyDescent="0.4">
      <c r="B6" s="7" t="s">
        <v>31</v>
      </c>
      <c r="C6" s="85">
        <f>C3*C5+C3</f>
        <v>0</v>
      </c>
      <c r="D6" s="78"/>
      <c r="E6" s="78">
        <f>E3*E5+E3</f>
        <v>0</v>
      </c>
      <c r="F6" s="78"/>
      <c r="G6" s="78">
        <f t="shared" ref="G6" si="0">G3*G5+G3</f>
        <v>0</v>
      </c>
      <c r="H6" s="78"/>
      <c r="I6" s="78">
        <f t="shared" ref="I6" si="1">I3*I5+I3</f>
        <v>0</v>
      </c>
      <c r="J6" s="78"/>
      <c r="K6" s="78">
        <f t="shared" ref="K6" si="2">K3*K5+K3</f>
        <v>0</v>
      </c>
      <c r="L6" s="78"/>
      <c r="M6" s="78">
        <f t="shared" ref="M6" si="3">M3*M5+M3</f>
        <v>0</v>
      </c>
      <c r="N6" s="78"/>
      <c r="O6" s="78">
        <f t="shared" ref="O6" si="4">O3*O5+O3</f>
        <v>0</v>
      </c>
      <c r="P6" s="79"/>
      <c r="Q6" s="80">
        <f>SUM(C6:P6)</f>
        <v>0</v>
      </c>
      <c r="R6" s="81"/>
    </row>
    <row r="7" spans="2:25" ht="24.95" customHeight="1" thickBot="1" x14ac:dyDescent="0.45">
      <c r="B7" s="7" t="s">
        <v>33</v>
      </c>
      <c r="C7" s="82">
        <f>C3-C3*L19</f>
        <v>0</v>
      </c>
      <c r="D7" s="83"/>
      <c r="E7" s="83">
        <f>E3-E3*L20</f>
        <v>0</v>
      </c>
      <c r="F7" s="83"/>
      <c r="G7" s="83">
        <f>G3-G3*L21</f>
        <v>0</v>
      </c>
      <c r="H7" s="83"/>
      <c r="I7" s="83">
        <f>I3-I3*L22</f>
        <v>0</v>
      </c>
      <c r="J7" s="83"/>
      <c r="K7" s="83">
        <f>K3-K3*L23</f>
        <v>0</v>
      </c>
      <c r="L7" s="83"/>
      <c r="M7" s="83">
        <f>M3-M3*L24</f>
        <v>0</v>
      </c>
      <c r="N7" s="83"/>
      <c r="O7" s="83">
        <f>O3-O3*L25</f>
        <v>0</v>
      </c>
      <c r="P7" s="84"/>
      <c r="Q7" s="80">
        <f>SUM(C7:P7)</f>
        <v>0</v>
      </c>
      <c r="R7" s="81"/>
    </row>
    <row r="8" spans="2:25" ht="24.95" customHeight="1" x14ac:dyDescent="0.4">
      <c r="B8" s="7" t="s">
        <v>6</v>
      </c>
      <c r="C8" s="76"/>
      <c r="D8" s="77"/>
      <c r="E8" s="70"/>
      <c r="F8" s="77"/>
      <c r="G8" s="70"/>
      <c r="H8" s="77"/>
      <c r="I8" s="70"/>
      <c r="J8" s="77"/>
      <c r="K8" s="70"/>
      <c r="L8" s="77"/>
      <c r="M8" s="70"/>
      <c r="N8" s="77"/>
      <c r="O8" s="70"/>
      <c r="P8" s="71"/>
    </row>
    <row r="9" spans="2:25" ht="24.95" customHeight="1" x14ac:dyDescent="0.4">
      <c r="B9" s="2" t="s">
        <v>9</v>
      </c>
      <c r="C9" s="72"/>
      <c r="D9" s="73"/>
      <c r="E9" s="74"/>
      <c r="F9" s="73"/>
      <c r="G9" s="74"/>
      <c r="H9" s="73"/>
      <c r="I9" s="74"/>
      <c r="J9" s="73"/>
      <c r="K9" s="74"/>
      <c r="L9" s="73"/>
      <c r="M9" s="74"/>
      <c r="N9" s="73"/>
      <c r="O9" s="74"/>
      <c r="P9" s="75"/>
    </row>
    <row r="10" spans="2:25" ht="24.95" customHeight="1" x14ac:dyDescent="0.4">
      <c r="B10" s="7" t="s">
        <v>10</v>
      </c>
      <c r="C10" s="68"/>
      <c r="D10" s="69"/>
      <c r="E10" s="63"/>
      <c r="F10" s="69"/>
      <c r="G10" s="63"/>
      <c r="H10" s="69"/>
      <c r="I10" s="63"/>
      <c r="J10" s="69"/>
      <c r="K10" s="63"/>
      <c r="L10" s="69"/>
      <c r="M10" s="63"/>
      <c r="N10" s="69"/>
      <c r="O10" s="63"/>
      <c r="P10" s="64"/>
    </row>
    <row r="11" spans="2:25" ht="24.95" customHeight="1" x14ac:dyDescent="0.4">
      <c r="B11" s="7" t="s">
        <v>27</v>
      </c>
      <c r="C11" s="65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7"/>
    </row>
    <row r="12" spans="2:25" ht="24.95" customHeight="1" thickBot="1" x14ac:dyDescent="0.45">
      <c r="B12" s="7" t="s">
        <v>24</v>
      </c>
      <c r="C12" s="61"/>
      <c r="D12" s="51"/>
      <c r="E12" s="51"/>
      <c r="F12" s="51"/>
      <c r="G12" s="51"/>
      <c r="H12" s="51"/>
      <c r="I12" s="51"/>
      <c r="J12" s="51"/>
      <c r="K12" s="51"/>
      <c r="L12" s="51"/>
      <c r="M12" s="62"/>
      <c r="N12" s="62"/>
      <c r="O12" s="51"/>
      <c r="P12" s="52"/>
    </row>
    <row r="13" spans="2:25" ht="24.95" customHeight="1" thickBot="1" x14ac:dyDescent="0.45">
      <c r="Q13" s="6"/>
      <c r="R13" s="6"/>
      <c r="S13" s="6"/>
      <c r="T13" s="6"/>
      <c r="U13" s="6"/>
      <c r="V13" s="6"/>
      <c r="W13" s="3"/>
    </row>
    <row r="14" spans="2:25" ht="24.95" customHeight="1" x14ac:dyDescent="0.4">
      <c r="B14" s="7" t="s">
        <v>36</v>
      </c>
      <c r="C14" s="53" t="s">
        <v>19</v>
      </c>
      <c r="D14" s="54"/>
      <c r="E14" s="55" t="s">
        <v>20</v>
      </c>
      <c r="F14" s="56"/>
      <c r="G14" s="55" t="s">
        <v>21</v>
      </c>
      <c r="H14" s="56"/>
      <c r="I14" s="57" t="s">
        <v>22</v>
      </c>
      <c r="J14" s="56"/>
      <c r="T14" s="3"/>
      <c r="U14" s="3"/>
      <c r="V14" s="3"/>
      <c r="W14" s="3"/>
      <c r="X14" s="3"/>
      <c r="Y14" s="3"/>
    </row>
    <row r="15" spans="2:25" ht="24.95" customHeight="1" thickBot="1" x14ac:dyDescent="0.45">
      <c r="B15" s="7" t="s">
        <v>15</v>
      </c>
      <c r="C15" s="41">
        <f>SUM(C19:C25)</f>
        <v>0</v>
      </c>
      <c r="D15" s="42"/>
      <c r="E15" s="41">
        <f>Q3</f>
        <v>0</v>
      </c>
      <c r="F15" s="42"/>
      <c r="G15" s="41">
        <f>C15-E15</f>
        <v>0</v>
      </c>
      <c r="H15" s="58"/>
      <c r="I15" s="59" t="e">
        <f>C15/E15-1</f>
        <v>#DIV/0!</v>
      </c>
      <c r="J15" s="60"/>
    </row>
    <row r="16" spans="2:25" ht="24.95" customHeight="1" thickBot="1" x14ac:dyDescent="0.45">
      <c r="B16" s="7" t="s">
        <v>6</v>
      </c>
      <c r="C16" s="41">
        <f>SUM(I19:I25)</f>
        <v>0</v>
      </c>
      <c r="D16" s="42"/>
      <c r="E16" s="41">
        <f>Q3</f>
        <v>0</v>
      </c>
      <c r="F16" s="42"/>
      <c r="G16" s="43">
        <f>C16-E16</f>
        <v>0</v>
      </c>
      <c r="H16" s="44"/>
      <c r="I16" s="45" t="e">
        <f>C16/E16-1</f>
        <v>#DIV/0!</v>
      </c>
      <c r="J16" s="46"/>
      <c r="T16" s="3"/>
      <c r="U16" s="3"/>
      <c r="V16" s="3"/>
      <c r="W16" s="3"/>
      <c r="X16" s="3"/>
    </row>
    <row r="17" spans="2:26" ht="24.95" customHeight="1" thickBot="1" x14ac:dyDescent="0.45">
      <c r="B17" s="3"/>
      <c r="C17" s="3"/>
      <c r="D17" s="3"/>
      <c r="E17" s="3"/>
      <c r="F17" s="3"/>
      <c r="G17" s="3"/>
      <c r="L17" s="5"/>
      <c r="M17" s="5"/>
      <c r="N17" s="5"/>
      <c r="O17" s="5"/>
      <c r="P17" s="5"/>
      <c r="Q17" s="5"/>
      <c r="R17" s="5"/>
      <c r="S17" s="5"/>
      <c r="T17" s="3"/>
      <c r="U17" s="3"/>
      <c r="V17" s="3"/>
      <c r="W17" s="3"/>
      <c r="X17" s="3"/>
      <c r="Y17" s="3"/>
    </row>
    <row r="18" spans="2:26" ht="24.95" customHeight="1" x14ac:dyDescent="0.4">
      <c r="B18" s="9" t="s">
        <v>15</v>
      </c>
      <c r="C18" s="12" t="s">
        <v>31</v>
      </c>
      <c r="D18" s="12" t="s">
        <v>14</v>
      </c>
      <c r="E18" s="12" t="s">
        <v>23</v>
      </c>
      <c r="F18" s="13" t="s">
        <v>15</v>
      </c>
      <c r="H18" s="9" t="s">
        <v>32</v>
      </c>
      <c r="I18" s="9" t="s">
        <v>30</v>
      </c>
      <c r="J18" s="12" t="s">
        <v>14</v>
      </c>
      <c r="K18" s="12" t="s">
        <v>23</v>
      </c>
      <c r="L18" s="21" t="s">
        <v>28</v>
      </c>
    </row>
    <row r="19" spans="2:26" ht="24.95" customHeight="1" x14ac:dyDescent="0.4">
      <c r="B19" s="10" t="s">
        <v>0</v>
      </c>
      <c r="C19" s="14">
        <f>C6*D19</f>
        <v>0</v>
      </c>
      <c r="D19" s="22">
        <v>1</v>
      </c>
      <c r="E19" s="15">
        <f>C3</f>
        <v>0</v>
      </c>
      <c r="F19" s="16">
        <f>C5</f>
        <v>0</v>
      </c>
      <c r="H19" s="10" t="s">
        <v>0</v>
      </c>
      <c r="I19" s="19">
        <f>C7*J19</f>
        <v>0</v>
      </c>
      <c r="J19" s="22">
        <v>1</v>
      </c>
      <c r="K19" s="15">
        <f>C3</f>
        <v>0</v>
      </c>
      <c r="L19" s="16">
        <f>C8%*2</f>
        <v>0</v>
      </c>
    </row>
    <row r="20" spans="2:26" ht="24.95" customHeight="1" x14ac:dyDescent="0.4">
      <c r="B20" s="10" t="s">
        <v>1</v>
      </c>
      <c r="C20" s="14">
        <f>E6*D20</f>
        <v>0</v>
      </c>
      <c r="D20" s="22">
        <v>1</v>
      </c>
      <c r="E20" s="15">
        <f>E3</f>
        <v>0</v>
      </c>
      <c r="F20" s="16">
        <f>E5</f>
        <v>0</v>
      </c>
      <c r="H20" s="10" t="s">
        <v>1</v>
      </c>
      <c r="I20" s="19">
        <f>E7*J20</f>
        <v>0</v>
      </c>
      <c r="J20" s="22">
        <v>1</v>
      </c>
      <c r="K20" s="15">
        <f>E3</f>
        <v>0</v>
      </c>
      <c r="L20" s="16">
        <f>E8%*2</f>
        <v>0</v>
      </c>
    </row>
    <row r="21" spans="2:26" ht="24.95" customHeight="1" x14ac:dyDescent="0.4">
      <c r="B21" s="10" t="s">
        <v>11</v>
      </c>
      <c r="C21" s="14">
        <f>G6*D21</f>
        <v>0</v>
      </c>
      <c r="D21" s="22">
        <v>1</v>
      </c>
      <c r="E21" s="15">
        <f>G3</f>
        <v>0</v>
      </c>
      <c r="F21" s="16">
        <f>G5</f>
        <v>0</v>
      </c>
      <c r="H21" s="10" t="s">
        <v>11</v>
      </c>
      <c r="I21" s="19">
        <f>G7*J21</f>
        <v>0</v>
      </c>
      <c r="J21" s="22">
        <v>1</v>
      </c>
      <c r="K21" s="15">
        <f>G3</f>
        <v>0</v>
      </c>
      <c r="L21" s="16">
        <f>G8%*2</f>
        <v>0</v>
      </c>
    </row>
    <row r="22" spans="2:26" ht="24.95" customHeight="1" x14ac:dyDescent="0.4">
      <c r="B22" s="10" t="s">
        <v>25</v>
      </c>
      <c r="C22" s="14">
        <f>I6*D22</f>
        <v>0</v>
      </c>
      <c r="D22" s="22">
        <v>1</v>
      </c>
      <c r="E22" s="15">
        <f>I3</f>
        <v>0</v>
      </c>
      <c r="F22" s="16">
        <f>I5</f>
        <v>0</v>
      </c>
      <c r="H22" s="10" t="s">
        <v>25</v>
      </c>
      <c r="I22" s="19">
        <f>I7*J22</f>
        <v>0</v>
      </c>
      <c r="J22" s="22">
        <v>1</v>
      </c>
      <c r="K22" s="15">
        <f>I3</f>
        <v>0</v>
      </c>
      <c r="L22" s="16">
        <f>I8%*2</f>
        <v>0</v>
      </c>
    </row>
    <row r="23" spans="2:26" ht="24.95" customHeight="1" x14ac:dyDescent="0.4">
      <c r="B23" s="10" t="s">
        <v>13</v>
      </c>
      <c r="C23" s="14">
        <f>K6*D23</f>
        <v>0</v>
      </c>
      <c r="D23" s="22">
        <v>1</v>
      </c>
      <c r="E23" s="15">
        <f>K3</f>
        <v>0</v>
      </c>
      <c r="F23" s="16">
        <f>K5</f>
        <v>0</v>
      </c>
      <c r="H23" s="10" t="s">
        <v>13</v>
      </c>
      <c r="I23" s="19">
        <f>K7*J23</f>
        <v>0</v>
      </c>
      <c r="J23" s="22">
        <v>1</v>
      </c>
      <c r="K23" s="15">
        <f>K3</f>
        <v>0</v>
      </c>
      <c r="L23" s="16">
        <f>K8%*2</f>
        <v>0</v>
      </c>
    </row>
    <row r="24" spans="2:26" ht="24.95" customHeight="1" x14ac:dyDescent="0.4">
      <c r="B24" s="10" t="s">
        <v>3</v>
      </c>
      <c r="C24" s="14">
        <f>M6*D24</f>
        <v>0</v>
      </c>
      <c r="D24" s="22">
        <v>1</v>
      </c>
      <c r="E24" s="15">
        <f>M3</f>
        <v>0</v>
      </c>
      <c r="F24" s="16">
        <f>M5</f>
        <v>0</v>
      </c>
      <c r="H24" s="10" t="s">
        <v>3</v>
      </c>
      <c r="I24" s="19">
        <f>M7*J24</f>
        <v>0</v>
      </c>
      <c r="J24" s="22">
        <v>1</v>
      </c>
      <c r="K24" s="15">
        <f>M3</f>
        <v>0</v>
      </c>
      <c r="L24" s="16">
        <f>M8%*2</f>
        <v>0</v>
      </c>
    </row>
    <row r="25" spans="2:26" ht="24.95" customHeight="1" thickBot="1" x14ac:dyDescent="0.45">
      <c r="B25" s="11" t="s">
        <v>26</v>
      </c>
      <c r="C25" s="14">
        <f>O6*D25</f>
        <v>0</v>
      </c>
      <c r="D25" s="23">
        <v>1</v>
      </c>
      <c r="E25" s="17">
        <f>O3</f>
        <v>0</v>
      </c>
      <c r="F25" s="18">
        <f>O5</f>
        <v>0</v>
      </c>
      <c r="H25" s="11" t="s">
        <v>26</v>
      </c>
      <c r="I25" s="20">
        <f>O7*J25</f>
        <v>0</v>
      </c>
      <c r="J25" s="23">
        <v>1</v>
      </c>
      <c r="K25" s="17">
        <f>O3</f>
        <v>0</v>
      </c>
      <c r="L25" s="18">
        <f>O8%*2</f>
        <v>0</v>
      </c>
    </row>
    <row r="26" spans="2:26" ht="24.95" customHeight="1" thickBot="1" x14ac:dyDescent="0.45">
      <c r="B26" s="3"/>
      <c r="C26" s="3"/>
      <c r="D26" s="3"/>
      <c r="E26" s="8"/>
      <c r="F26" s="8"/>
      <c r="G26" s="8"/>
      <c r="H26" s="8"/>
      <c r="N26" s="3"/>
      <c r="O26" s="3"/>
      <c r="P26" s="3"/>
      <c r="R26" s="3"/>
      <c r="S26" s="3"/>
      <c r="T26" s="3"/>
      <c r="U26" s="3"/>
    </row>
    <row r="27" spans="2:26" ht="24.95" customHeight="1" x14ac:dyDescent="0.4">
      <c r="B27" s="47" t="s">
        <v>16</v>
      </c>
      <c r="C27" s="48"/>
      <c r="D27" s="48" t="s">
        <v>17</v>
      </c>
      <c r="E27" s="48"/>
      <c r="F27" s="48" t="s">
        <v>18</v>
      </c>
      <c r="G27" s="48"/>
      <c r="H27" s="49" t="s">
        <v>35</v>
      </c>
      <c r="I27" s="50"/>
      <c r="J27" s="24" t="s">
        <v>34</v>
      </c>
      <c r="L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ht="24.95" customHeight="1" x14ac:dyDescent="0.4">
      <c r="B28" s="27">
        <v>100000</v>
      </c>
      <c r="C28" s="28"/>
      <c r="D28" s="29" t="e">
        <f>I15</f>
        <v>#DIV/0!</v>
      </c>
      <c r="E28" s="30"/>
      <c r="F28" s="31">
        <f>B28*12*J28</f>
        <v>24000000</v>
      </c>
      <c r="G28" s="31"/>
      <c r="H28" s="32" t="e">
        <f>FV(D28/10,12*J28,-B28,0,0)-F28</f>
        <v>#DIV/0!</v>
      </c>
      <c r="I28" s="33"/>
      <c r="J28" s="25">
        <v>20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ht="24.95" customHeight="1" thickBot="1" x14ac:dyDescent="0.45">
      <c r="B29" s="34">
        <v>200000</v>
      </c>
      <c r="C29" s="35"/>
      <c r="D29" s="36" t="e">
        <f>I15</f>
        <v>#DIV/0!</v>
      </c>
      <c r="E29" s="37"/>
      <c r="F29" s="38">
        <f>B29*12*J29</f>
        <v>48000000</v>
      </c>
      <c r="G29" s="38"/>
      <c r="H29" s="39" t="e">
        <f>FV(D29/10,12*J29,-B29,0,0)-F29</f>
        <v>#DIV/0!</v>
      </c>
      <c r="I29" s="40"/>
      <c r="J29" s="26">
        <v>20</v>
      </c>
      <c r="L29" s="3"/>
      <c r="M29" s="3"/>
      <c r="N29" s="3"/>
      <c r="O29" s="3"/>
      <c r="P29" s="3"/>
      <c r="Q29" s="3"/>
      <c r="R29" s="3"/>
      <c r="S29" s="3"/>
    </row>
    <row r="30" spans="2:26" ht="24.95" customHeight="1" x14ac:dyDescent="0.4">
      <c r="B30" s="3"/>
    </row>
    <row r="31" spans="2:26" ht="24.95" customHeight="1" x14ac:dyDescent="0.4">
      <c r="B31" s="3"/>
    </row>
    <row r="32" spans="2:26" ht="24.95" customHeight="1" x14ac:dyDescent="0.4"/>
    <row r="33" spans="2:26" ht="24.95" customHeight="1" x14ac:dyDescent="0.4"/>
    <row r="34" spans="2:26" ht="24.95" customHeight="1" x14ac:dyDescent="0.4"/>
    <row r="35" spans="2:26" ht="24.95" customHeight="1" x14ac:dyDescent="0.4"/>
    <row r="36" spans="2:26" x14ac:dyDescent="0.4">
      <c r="H36" s="3"/>
      <c r="I36" s="3"/>
      <c r="J36" s="3"/>
      <c r="K36" s="3"/>
    </row>
    <row r="37" spans="2:26" x14ac:dyDescent="0.4">
      <c r="W37" s="3"/>
      <c r="X37" s="3"/>
      <c r="Y37" s="3"/>
      <c r="Z37" s="3"/>
    </row>
    <row r="38" spans="2:26" x14ac:dyDescent="0.4">
      <c r="S38" s="3"/>
      <c r="T38" s="3"/>
      <c r="U38" s="3"/>
      <c r="V38" s="3"/>
      <c r="W38" s="3"/>
      <c r="X38" s="3"/>
      <c r="Y38" s="3"/>
      <c r="Z38" s="3"/>
    </row>
    <row r="39" spans="2:26" x14ac:dyDescent="0.4">
      <c r="S39" s="3"/>
      <c r="T39" s="3"/>
      <c r="U39" s="3"/>
      <c r="V39" s="3"/>
      <c r="W39" s="3"/>
      <c r="X39" s="3"/>
      <c r="Y39" s="3"/>
      <c r="Z39" s="3"/>
    </row>
    <row r="40" spans="2:26" x14ac:dyDescent="0.4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4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2:26" x14ac:dyDescent="0.4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2:26" x14ac:dyDescent="0.4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2:26" x14ac:dyDescent="0.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2:26" x14ac:dyDescent="0.4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2:26" x14ac:dyDescent="0.4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2:26" x14ac:dyDescent="0.4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2:26" x14ac:dyDescent="0.4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2:26" x14ac:dyDescent="0.4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2:26" x14ac:dyDescent="0.4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2:26" x14ac:dyDescent="0.4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2:26" x14ac:dyDescent="0.4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2:26" x14ac:dyDescent="0.4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2:26" x14ac:dyDescent="0.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2:26" x14ac:dyDescent="0.4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2:26" x14ac:dyDescent="0.4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2:26" x14ac:dyDescent="0.4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2:26" x14ac:dyDescent="0.4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2:26" x14ac:dyDescent="0.4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2:26" x14ac:dyDescent="0.4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2:26" x14ac:dyDescent="0.4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2:26" x14ac:dyDescent="0.4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2:26" x14ac:dyDescent="0.4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2:26" x14ac:dyDescent="0.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2:26" x14ac:dyDescent="0.4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2:26" x14ac:dyDescent="0.4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2:26" x14ac:dyDescent="0.4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2:26" x14ac:dyDescent="0.4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2:26" x14ac:dyDescent="0.4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2:26" x14ac:dyDescent="0.4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2:26" x14ac:dyDescent="0.4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2:26" x14ac:dyDescent="0.4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2:26" x14ac:dyDescent="0.4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2:26" x14ac:dyDescent="0.4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2:26" x14ac:dyDescent="0.4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2:26" x14ac:dyDescent="0.4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2:26" x14ac:dyDescent="0.4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2:26" x14ac:dyDescent="0.4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2:26" x14ac:dyDescent="0.4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2:26" x14ac:dyDescent="0.4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2:26" x14ac:dyDescent="0.4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2:26" x14ac:dyDescent="0.4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2:26" x14ac:dyDescent="0.4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2:26" x14ac:dyDescent="0.4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2:26" x14ac:dyDescent="0.4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2:26" x14ac:dyDescent="0.4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2:26" x14ac:dyDescent="0.4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2:26" x14ac:dyDescent="0.4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2:26" x14ac:dyDescent="0.4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2:26" x14ac:dyDescent="0.4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2:26" x14ac:dyDescent="0.4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2:26" x14ac:dyDescent="0.4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2:26" x14ac:dyDescent="0.4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2:26" x14ac:dyDescent="0.4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2:26" x14ac:dyDescent="0.4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2:26" x14ac:dyDescent="0.4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2:26" x14ac:dyDescent="0.4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2:26" x14ac:dyDescent="0.4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2:26" x14ac:dyDescent="0.4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2:26" x14ac:dyDescent="0.4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2:26" x14ac:dyDescent="0.4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2:26" x14ac:dyDescent="0.4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2:26" x14ac:dyDescent="0.4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2:26" x14ac:dyDescent="0.4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2:26" x14ac:dyDescent="0.4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2:26" x14ac:dyDescent="0.4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2:26" x14ac:dyDescent="0.4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2:26" x14ac:dyDescent="0.4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2:26" x14ac:dyDescent="0.4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2:26" x14ac:dyDescent="0.4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2:26" x14ac:dyDescent="0.4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2:26" x14ac:dyDescent="0.4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2:26" x14ac:dyDescent="0.4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2:26" x14ac:dyDescent="0.4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2:26" x14ac:dyDescent="0.4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2:26" x14ac:dyDescent="0.4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2:26" x14ac:dyDescent="0.4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2:26" x14ac:dyDescent="0.4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2:26" x14ac:dyDescent="0.4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2:26" x14ac:dyDescent="0.4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2:26" x14ac:dyDescent="0.4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2:26" x14ac:dyDescent="0.4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2:26" x14ac:dyDescent="0.4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2:26" x14ac:dyDescent="0.4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2:26" x14ac:dyDescent="0.4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2:26" x14ac:dyDescent="0.4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2:26" x14ac:dyDescent="0.4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2:26" x14ac:dyDescent="0.4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2:26" x14ac:dyDescent="0.4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2:26" x14ac:dyDescent="0.4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2:26" x14ac:dyDescent="0.4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2:26" x14ac:dyDescent="0.4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</sheetData>
  <mergeCells count="107">
    <mergeCell ref="O2:P2"/>
    <mergeCell ref="Q2:R2"/>
    <mergeCell ref="C3:D3"/>
    <mergeCell ref="E3:F3"/>
    <mergeCell ref="G3:H3"/>
    <mergeCell ref="I3:J3"/>
    <mergeCell ref="K3:L3"/>
    <mergeCell ref="M3:N3"/>
    <mergeCell ref="O3:P3"/>
    <mergeCell ref="Q3:R3"/>
    <mergeCell ref="C2:D2"/>
    <mergeCell ref="E2:F2"/>
    <mergeCell ref="G2:H2"/>
    <mergeCell ref="I2:J2"/>
    <mergeCell ref="K2:L2"/>
    <mergeCell ref="M2:N2"/>
    <mergeCell ref="O4:P4"/>
    <mergeCell ref="Q4:R4"/>
    <mergeCell ref="C5:D5"/>
    <mergeCell ref="E5:F5"/>
    <mergeCell ref="G5:H5"/>
    <mergeCell ref="I5:J5"/>
    <mergeCell ref="K5:L5"/>
    <mergeCell ref="M5:N5"/>
    <mergeCell ref="O5:P5"/>
    <mergeCell ref="Q5:R5"/>
    <mergeCell ref="C4:D4"/>
    <mergeCell ref="E4:F4"/>
    <mergeCell ref="G4:H4"/>
    <mergeCell ref="I4:J4"/>
    <mergeCell ref="K4:L4"/>
    <mergeCell ref="M4:N4"/>
    <mergeCell ref="O6:P6"/>
    <mergeCell ref="Q6:R6"/>
    <mergeCell ref="C7:D7"/>
    <mergeCell ref="E7:F7"/>
    <mergeCell ref="G7:H7"/>
    <mergeCell ref="I7:J7"/>
    <mergeCell ref="K7:L7"/>
    <mergeCell ref="M7:N7"/>
    <mergeCell ref="O7:P7"/>
    <mergeCell ref="Q7:R7"/>
    <mergeCell ref="C6:D6"/>
    <mergeCell ref="E6:F6"/>
    <mergeCell ref="G6:H6"/>
    <mergeCell ref="I6:J6"/>
    <mergeCell ref="K6:L6"/>
    <mergeCell ref="M6:N6"/>
    <mergeCell ref="O8:P8"/>
    <mergeCell ref="C9:D9"/>
    <mergeCell ref="E9:F9"/>
    <mergeCell ref="G9:H9"/>
    <mergeCell ref="I9:J9"/>
    <mergeCell ref="K9:L9"/>
    <mergeCell ref="M9:N9"/>
    <mergeCell ref="O9:P9"/>
    <mergeCell ref="C8:D8"/>
    <mergeCell ref="E8:F8"/>
    <mergeCell ref="G8:H8"/>
    <mergeCell ref="I8:J8"/>
    <mergeCell ref="K8:L8"/>
    <mergeCell ref="M8:N8"/>
    <mergeCell ref="O10:P10"/>
    <mergeCell ref="C11:D11"/>
    <mergeCell ref="E11:F11"/>
    <mergeCell ref="G11:H11"/>
    <mergeCell ref="I11:J11"/>
    <mergeCell ref="K11:L11"/>
    <mergeCell ref="M11:N11"/>
    <mergeCell ref="O11:P11"/>
    <mergeCell ref="C10:D10"/>
    <mergeCell ref="E10:F10"/>
    <mergeCell ref="G10:H10"/>
    <mergeCell ref="I10:J10"/>
    <mergeCell ref="K10:L10"/>
    <mergeCell ref="M10:N10"/>
    <mergeCell ref="O12:P12"/>
    <mergeCell ref="C14:D14"/>
    <mergeCell ref="E14:F14"/>
    <mergeCell ref="G14:H14"/>
    <mergeCell ref="I14:J14"/>
    <mergeCell ref="C15:D15"/>
    <mergeCell ref="E15:F15"/>
    <mergeCell ref="G15:H15"/>
    <mergeCell ref="I15:J15"/>
    <mergeCell ref="C12:D12"/>
    <mergeCell ref="E12:F12"/>
    <mergeCell ref="G12:H12"/>
    <mergeCell ref="I12:J12"/>
    <mergeCell ref="K12:L12"/>
    <mergeCell ref="M12:N12"/>
    <mergeCell ref="B28:C28"/>
    <mergeCell ref="D28:E28"/>
    <mergeCell ref="F28:G28"/>
    <mergeCell ref="H28:I28"/>
    <mergeCell ref="B29:C29"/>
    <mergeCell ref="D29:E29"/>
    <mergeCell ref="F29:G29"/>
    <mergeCell ref="H29:I29"/>
    <mergeCell ref="C16:D16"/>
    <mergeCell ref="E16:F16"/>
    <mergeCell ref="G16:H16"/>
    <mergeCell ref="I16:J16"/>
    <mergeCell ref="B27:C27"/>
    <mergeCell ref="D27:E27"/>
    <mergeCell ref="F27:G27"/>
    <mergeCell ref="H27:I27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ポートフォリオ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岩島雅博</dc:creator>
  <cp:lastModifiedBy>和宏 横町</cp:lastModifiedBy>
  <dcterms:created xsi:type="dcterms:W3CDTF">2021-06-06T17:17:44Z</dcterms:created>
  <dcterms:modified xsi:type="dcterms:W3CDTF">2026-03-12T13:31:37Z</dcterms:modified>
</cp:coreProperties>
</file>